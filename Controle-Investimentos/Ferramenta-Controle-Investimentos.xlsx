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aub\Documents\CursosOnline\dio\excel\"/>
    </mc:Choice>
  </mc:AlternateContent>
  <xr:revisionPtr revIDLastSave="0" documentId="13_ncr:1_{9D4CD0F9-9454-44AF-BA33-4EB43A492E80}" xr6:coauthVersionLast="47" xr6:coauthVersionMax="47" xr10:uidLastSave="{00000000-0000-0000-0000-000000000000}"/>
  <bookViews>
    <workbookView xWindow="-120" yWindow="-120" windowWidth="20730" windowHeight="11160" xr2:uid="{D8115FE1-9B14-4EFD-BEEC-7D17315415B6}"/>
  </bookViews>
  <sheets>
    <sheet name="app" sheetId="1" r:id="rId1"/>
    <sheet name="dados" sheetId="2" r:id="rId2"/>
  </sheets>
  <definedNames>
    <definedName name="aporte">app!$D$17</definedName>
    <definedName name="patrimonio">app!$D$20</definedName>
    <definedName name="qtde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D37" i="1" s="1"/>
  <c r="C38" i="1"/>
  <c r="D38" i="1" s="1"/>
  <c r="C39" i="1"/>
  <c r="D39" i="1" s="1"/>
  <c r="C40" i="1"/>
  <c r="D40" i="1" s="1"/>
  <c r="C41" i="1"/>
  <c r="D41" i="1" s="1"/>
  <c r="C36" i="1"/>
  <c r="D36" i="1" s="1"/>
  <c r="H4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C33" i="1"/>
  <c r="D20" i="1"/>
  <c r="D21" i="1" s="1"/>
  <c r="D14" i="1"/>
  <c r="C25" i="1"/>
  <c r="D25" i="1" s="1"/>
  <c r="C26" i="1"/>
  <c r="D26" i="1" s="1"/>
  <c r="C27" i="1"/>
  <c r="D27" i="1" s="1"/>
  <c r="C28" i="1"/>
  <c r="D28" i="1" s="1"/>
  <c r="C24" i="1"/>
  <c r="D24" i="1" s="1"/>
  <c r="D42" i="1" l="1"/>
</calcChain>
</file>

<file path=xl/sharedStrings.xml><?xml version="1.0" encoding="utf-8"?>
<sst xmlns="http://schemas.openxmlformats.org/spreadsheetml/2006/main" count="71" uniqueCount="34">
  <si>
    <t>Quanto investir por mês ?</t>
  </si>
  <si>
    <t>INVESTIMENTO MENSAL</t>
  </si>
  <si>
    <t>Por quantos anos ?</t>
  </si>
  <si>
    <t>Patrimônio Acumulado ?</t>
  </si>
  <si>
    <t>Dividendos Mensais ?</t>
  </si>
  <si>
    <t>Taxa de rendimento mensal ?</t>
  </si>
  <si>
    <t xml:space="preserve"> Cenários</t>
  </si>
  <si>
    <t>Quanto em 2 Anos ?</t>
  </si>
  <si>
    <t>Quanto em 5 Anos ?</t>
  </si>
  <si>
    <t>Quanto em 10 Anos ?</t>
  </si>
  <si>
    <t>Quanto em 20 Anos ?</t>
  </si>
  <si>
    <t>Quanto em 30 Anos ?</t>
  </si>
  <si>
    <t>Dividendo</t>
  </si>
  <si>
    <t>Rendimento Carteira</t>
  </si>
  <si>
    <t>Salário</t>
  </si>
  <si>
    <t>CONFIGURAÇÕES</t>
  </si>
  <si>
    <t>Moderado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</si>
  <si>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</si>
  <si>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</si>
  <si>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</si>
  <si>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</si>
  <si>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</si>
  <si>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</si>
  <si>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</si>
  <si>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</si>
  <si>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</si>
  <si>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</si>
  <si>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</si>
  <si>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Conservador</t>
  </si>
  <si>
    <t>%</t>
  </si>
  <si>
    <t>Agressivo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</si>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</sst>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Segoe UI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b/>
      <sz val="12"/>
      <color theme="1"/>
      <name val="Segoe UI"/>
      <family val="2"/>
    </font>
    <font>
      <b/>
      <sz val="11"/>
      <color rgb="FF9C57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7">
    <xf numFmtId="0" fontId="0" fillId="0" borderId="0" xfId="0"/>
    <xf numFmtId="0" fontId="6" fillId="4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4" fillId="0" borderId="0" xfId="0" applyFont="1"/>
    <xf numFmtId="166" fontId="0" fillId="0" borderId="0" xfId="0" applyNumberFormat="1"/>
    <xf numFmtId="0" fontId="7" fillId="4" borderId="2" xfId="0" applyFont="1" applyFill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6" fillId="6" borderId="1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5" fillId="3" borderId="8" xfId="0" applyFont="1" applyFill="1" applyBorder="1" applyAlignment="1">
      <alignment horizontal="left" indent="3"/>
    </xf>
    <xf numFmtId="0" fontId="5" fillId="3" borderId="14" xfId="0" applyFont="1" applyFill="1" applyBorder="1" applyAlignment="1">
      <alignment horizontal="left" indent="3"/>
    </xf>
    <xf numFmtId="0" fontId="5" fillId="3" borderId="10" xfId="0" applyFont="1" applyFill="1" applyBorder="1" applyAlignment="1">
      <alignment horizontal="left" indent="3"/>
    </xf>
    <xf numFmtId="0" fontId="5" fillId="3" borderId="15" xfId="0" applyFont="1" applyFill="1" applyBorder="1" applyAlignment="1">
      <alignment horizontal="left" indent="3"/>
    </xf>
    <xf numFmtId="0" fontId="5" fillId="3" borderId="12" xfId="0" applyFont="1" applyFill="1" applyBorder="1" applyAlignment="1">
      <alignment horizontal="left" indent="3"/>
    </xf>
    <xf numFmtId="0" fontId="5" fillId="3" borderId="16" xfId="0" applyFont="1" applyFill="1" applyBorder="1" applyAlignment="1">
      <alignment horizontal="left" indent="3"/>
    </xf>
    <xf numFmtId="0" fontId="8" fillId="5" borderId="10" xfId="0" applyFont="1" applyFill="1" applyBorder="1" applyAlignment="1">
      <alignment horizontal="left" indent="3"/>
    </xf>
    <xf numFmtId="0" fontId="8" fillId="5" borderId="15" xfId="0" applyFont="1" applyFill="1" applyBorder="1" applyAlignment="1">
      <alignment horizontal="left" indent="3"/>
    </xf>
    <xf numFmtId="0" fontId="8" fillId="5" borderId="12" xfId="0" applyFont="1" applyFill="1" applyBorder="1" applyAlignment="1">
      <alignment horizontal="left" indent="3"/>
    </xf>
    <xf numFmtId="0" fontId="8" fillId="5" borderId="16" xfId="0" applyFont="1" applyFill="1" applyBorder="1" applyAlignment="1">
      <alignment horizontal="left" indent="3"/>
    </xf>
    <xf numFmtId="0" fontId="5" fillId="5" borderId="8" xfId="0" applyFont="1" applyFill="1" applyBorder="1" applyAlignment="1">
      <alignment horizontal="left" vertical="center" indent="3"/>
    </xf>
    <xf numFmtId="166" fontId="5" fillId="5" borderId="14" xfId="0" applyNumberFormat="1" applyFont="1" applyFill="1" applyBorder="1" applyAlignment="1">
      <alignment horizontal="center" vertical="center"/>
    </xf>
    <xf numFmtId="166" fontId="5" fillId="5" borderId="9" xfId="0" applyNumberFormat="1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left" vertical="center" indent="3"/>
    </xf>
    <xf numFmtId="166" fontId="5" fillId="5" borderId="15" xfId="0" applyNumberFormat="1" applyFont="1" applyFill="1" applyBorder="1" applyAlignment="1">
      <alignment horizontal="center" vertical="center"/>
    </xf>
    <xf numFmtId="166" fontId="5" fillId="5" borderId="11" xfId="0" applyNumberFormat="1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left" vertical="center" indent="3"/>
    </xf>
    <xf numFmtId="166" fontId="5" fillId="5" borderId="16" xfId="0" applyNumberFormat="1" applyFont="1" applyFill="1" applyBorder="1" applyAlignment="1">
      <alignment horizontal="center" vertical="center"/>
    </xf>
    <xf numFmtId="166" fontId="5" fillId="5" borderId="13" xfId="0" applyNumberFormat="1" applyFont="1" applyFill="1" applyBorder="1" applyAlignment="1">
      <alignment horizontal="center" vertical="center"/>
    </xf>
    <xf numFmtId="166" fontId="5" fillId="0" borderId="9" xfId="0" applyNumberFormat="1" applyFont="1" applyBorder="1" applyAlignment="1">
      <alignment horizontal="center"/>
    </xf>
    <xf numFmtId="10" fontId="5" fillId="0" borderId="11" xfId="0" applyNumberFormat="1" applyFont="1" applyBorder="1" applyAlignment="1">
      <alignment horizontal="center"/>
    </xf>
    <xf numFmtId="166" fontId="5" fillId="0" borderId="13" xfId="0" applyNumberFormat="1" applyFont="1" applyBorder="1" applyAlignment="1">
      <alignment horizontal="center"/>
    </xf>
    <xf numFmtId="166" fontId="8" fillId="3" borderId="9" xfId="1" applyNumberFormat="1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10" fontId="8" fillId="3" borderId="11" xfId="2" applyNumberFormat="1" applyFont="1" applyFill="1" applyBorder="1" applyAlignment="1">
      <alignment horizontal="center" vertical="center"/>
    </xf>
    <xf numFmtId="8" fontId="8" fillId="5" borderId="11" xfId="0" applyNumberFormat="1" applyFont="1" applyFill="1" applyBorder="1" applyAlignment="1">
      <alignment horizontal="center"/>
    </xf>
    <xf numFmtId="8" fontId="8" fillId="5" borderId="13" xfId="0" applyNumberFormat="1" applyFont="1" applyFill="1" applyBorder="1" applyAlignment="1">
      <alignment horizontal="center"/>
    </xf>
    <xf numFmtId="0" fontId="2" fillId="2" borderId="0" xfId="3"/>
    <xf numFmtId="166" fontId="0" fillId="0" borderId="0" xfId="0" applyNumberFormat="1" applyAlignment="1">
      <alignment horizontal="center"/>
    </xf>
    <xf numFmtId="0" fontId="9" fillId="2" borderId="0" xfId="3" applyFont="1"/>
    <xf numFmtId="0" fontId="9" fillId="2" borderId="0" xfId="3" applyFont="1" applyAlignment="1">
      <alignment horizontal="center" vertical="center"/>
    </xf>
    <xf numFmtId="0" fontId="3" fillId="3" borderId="0" xfId="0" applyFont="1" applyFill="1"/>
    <xf numFmtId="166" fontId="3" fillId="3" borderId="0" xfId="0" applyNumberFormat="1" applyFont="1" applyFill="1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0" fillId="7" borderId="0" xfId="0" applyFill="1"/>
    <xf numFmtId="9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166" fontId="3" fillId="7" borderId="0" xfId="0" applyNumberFormat="1" applyFont="1" applyFill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166" fontId="2" fillId="2" borderId="0" xfId="3" applyNumberFormat="1"/>
    <xf numFmtId="0" fontId="3" fillId="7" borderId="1" xfId="0" applyFont="1" applyFill="1" applyBorder="1"/>
    <xf numFmtId="0" fontId="3" fillId="7" borderId="3" xfId="0" applyFont="1" applyFill="1" applyBorder="1"/>
    <xf numFmtId="0" fontId="3" fillId="7" borderId="3" xfId="0" applyFont="1" applyFill="1" applyBorder="1" applyAlignment="1">
      <alignment horizontal="center" vertical="center"/>
    </xf>
    <xf numFmtId="0" fontId="3" fillId="7" borderId="2" xfId="0" applyFont="1" applyFill="1" applyBorder="1"/>
    <xf numFmtId="0" fontId="0" fillId="0" borderId="0" xfId="0" applyBorder="1"/>
    <xf numFmtId="0" fontId="0" fillId="0" borderId="0" xfId="0" applyBorder="1" applyAlignment="1">
      <alignment horizontal="center"/>
    </xf>
    <xf numFmtId="9" fontId="0" fillId="0" borderId="5" xfId="0" applyNumberForma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0" fillId="0" borderId="4" xfId="0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9" fontId="0" fillId="0" borderId="5" xfId="0" applyNumberFormat="1" applyFill="1" applyBorder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C-402C-ABF8-FC70986D7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346363</xdr:colOff>
      <xdr:row>0</xdr:row>
      <xdr:rowOff>40821</xdr:rowOff>
    </xdr:from>
    <xdr:to>
      <xdr:col>4</xdr:col>
      <xdr:colOff>312964</xdr:colOff>
      <xdr:row>8</xdr:row>
      <xdr:rowOff>121228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C38913D-6D06-4F15-8FA1-BAD70A0F47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346363" y="40821"/>
          <a:ext cx="8416637" cy="1604407"/>
        </a:xfrm>
        <a:prstGeom prst="rect">
          <a:avLst/>
        </a:prstGeom>
      </xdr:spPr>
    </xdr:pic>
    <xdr:clientData/>
  </xdr:twoCellAnchor>
  <xdr:twoCellAnchor>
    <xdr:from>
      <xdr:col>0</xdr:col>
      <xdr:colOff>598715</xdr:colOff>
      <xdr:row>43</xdr:row>
      <xdr:rowOff>108857</xdr:rowOff>
    </xdr:from>
    <xdr:to>
      <xdr:col>3</xdr:col>
      <xdr:colOff>1347107</xdr:colOff>
      <xdr:row>63</xdr:row>
      <xdr:rowOff>27214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F29CDC4-99D3-D7A4-FA60-1101BE82A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CC61-B143-4999-AAD3-8EA820B6A162}">
  <dimension ref="A1:F79"/>
  <sheetViews>
    <sheetView showGridLines="0" tabSelected="1" zoomScale="130" zoomScaleNormal="130" workbookViewId="0">
      <selection activeCell="E50" sqref="E50"/>
    </sheetView>
  </sheetViews>
  <sheetFormatPr defaultColWidth="0" defaultRowHeight="15" zeroHeight="1" x14ac:dyDescent="0.25"/>
  <cols>
    <col min="1" max="1" width="9.140625" customWidth="1"/>
    <col min="2" max="2" width="43.42578125" customWidth="1"/>
    <col min="3" max="3" width="52.7109375" customWidth="1"/>
    <col min="4" max="4" width="21.42578125" bestFit="1" customWidth="1"/>
    <col min="5" max="5" width="11.85546875" customWidth="1"/>
    <col min="6" max="6" width="10.7109375" hidden="1" customWidth="1"/>
    <col min="7" max="11" width="9.140625" hidden="1" customWidth="1"/>
    <col min="12" max="16384" width="9.140625" hidden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x14ac:dyDescent="0.25"/>
    <row r="10" spans="2:4" ht="15.75" thickBot="1" x14ac:dyDescent="0.3"/>
    <row r="11" spans="2:4" ht="30.75" x14ac:dyDescent="0.25">
      <c r="B11" s="8" t="s">
        <v>15</v>
      </c>
      <c r="C11" s="9"/>
      <c r="D11" s="10"/>
    </row>
    <row r="12" spans="2:4" ht="17.25" x14ac:dyDescent="0.3">
      <c r="B12" s="12" t="s">
        <v>14</v>
      </c>
      <c r="C12" s="13"/>
      <c r="D12" s="31">
        <v>5000</v>
      </c>
    </row>
    <row r="13" spans="2:4" ht="17.25" x14ac:dyDescent="0.3">
      <c r="B13" s="14" t="s">
        <v>13</v>
      </c>
      <c r="C13" s="15"/>
      <c r="D13" s="32">
        <v>6.0000000000000001E-3</v>
      </c>
    </row>
    <row r="14" spans="2:4" ht="18" thickBot="1" x14ac:dyDescent="0.35">
      <c r="B14" s="16" t="s">
        <v>33</v>
      </c>
      <c r="C14" s="17"/>
      <c r="D14" s="33">
        <f>D12*30%</f>
        <v>1500</v>
      </c>
    </row>
    <row r="15" spans="2:4" ht="15.75" thickBot="1" x14ac:dyDescent="0.3"/>
    <row r="16" spans="2:4" ht="36" customHeight="1" x14ac:dyDescent="0.25">
      <c r="B16" s="1" t="s">
        <v>1</v>
      </c>
      <c r="C16" s="2"/>
      <c r="D16" s="11"/>
    </row>
    <row r="17" spans="1:4" ht="17.25" x14ac:dyDescent="0.3">
      <c r="B17" s="12" t="s">
        <v>0</v>
      </c>
      <c r="C17" s="13"/>
      <c r="D17" s="34">
        <v>500</v>
      </c>
    </row>
    <row r="18" spans="1:4" ht="17.25" x14ac:dyDescent="0.3">
      <c r="B18" s="14" t="s">
        <v>2</v>
      </c>
      <c r="C18" s="15"/>
      <c r="D18" s="35">
        <v>5</v>
      </c>
    </row>
    <row r="19" spans="1:4" ht="17.25" x14ac:dyDescent="0.3">
      <c r="B19" s="14" t="s">
        <v>5</v>
      </c>
      <c r="C19" s="15"/>
      <c r="D19" s="36">
        <v>1.0789999999999999E-2</v>
      </c>
    </row>
    <row r="20" spans="1:4" ht="17.25" x14ac:dyDescent="0.3">
      <c r="B20" s="18" t="s">
        <v>3</v>
      </c>
      <c r="C20" s="19"/>
      <c r="D20" s="37">
        <f>FV(taxa_mensal,qtde_anos*12,aporte*-1)</f>
        <v>41888.456999243819</v>
      </c>
    </row>
    <row r="21" spans="1:4" ht="18" thickBot="1" x14ac:dyDescent="0.35">
      <c r="B21" s="20" t="s">
        <v>4</v>
      </c>
      <c r="C21" s="21"/>
      <c r="D21" s="38">
        <f>patrimonio*rendimento_carteira</f>
        <v>251.33074199546292</v>
      </c>
    </row>
    <row r="22" spans="1:4" ht="15.75" thickBot="1" x14ac:dyDescent="0.3"/>
    <row r="23" spans="1:4" ht="30.75" x14ac:dyDescent="0.25">
      <c r="B23" s="1" t="s">
        <v>6</v>
      </c>
      <c r="C23" s="2"/>
      <c r="D23" s="5" t="s">
        <v>12</v>
      </c>
    </row>
    <row r="24" spans="1:4" ht="17.25" x14ac:dyDescent="0.25">
      <c r="A24" s="3">
        <v>2</v>
      </c>
      <c r="B24" s="22" t="s">
        <v>7</v>
      </c>
      <c r="C24" s="23">
        <f>FV($D$19,$A24*12,$D$17*-1)</f>
        <v>13613.813648822608</v>
      </c>
      <c r="D24" s="24">
        <f>C24*rendimento_carteira</f>
        <v>81.682881892935654</v>
      </c>
    </row>
    <row r="25" spans="1:4" ht="17.25" x14ac:dyDescent="0.25">
      <c r="A25" s="3">
        <v>5</v>
      </c>
      <c r="B25" s="25" t="s">
        <v>8</v>
      </c>
      <c r="C25" s="26">
        <f>FV($D$19,$A25*12,$D$17*-1)</f>
        <v>41888.456999243819</v>
      </c>
      <c r="D25" s="27">
        <f>C25*rendimento_carteira</f>
        <v>251.33074199546292</v>
      </c>
    </row>
    <row r="26" spans="1:4" ht="17.25" x14ac:dyDescent="0.25">
      <c r="A26" s="3">
        <v>10</v>
      </c>
      <c r="B26" s="25" t="s">
        <v>9</v>
      </c>
      <c r="C26" s="26">
        <f>FV($D$19,$A26*12,$D$17*-1)</f>
        <v>121642.1062650861</v>
      </c>
      <c r="D26" s="27">
        <f>C26*rendimento_carteira</f>
        <v>729.85263759051657</v>
      </c>
    </row>
    <row r="27" spans="1:4" ht="17.25" x14ac:dyDescent="0.25">
      <c r="A27" s="3">
        <v>20</v>
      </c>
      <c r="B27" s="25" t="s">
        <v>10</v>
      </c>
      <c r="C27" s="26">
        <f>FV($D$19,$A27*12,$D$17*-1)</f>
        <v>562599.20004854025</v>
      </c>
      <c r="D27" s="27">
        <f>C27*rendimento_carteira</f>
        <v>3375.5952002912418</v>
      </c>
    </row>
    <row r="28" spans="1:4" ht="18" thickBot="1" x14ac:dyDescent="0.3">
      <c r="A28" s="3">
        <v>30</v>
      </c>
      <c r="B28" s="28" t="s">
        <v>11</v>
      </c>
      <c r="C28" s="29">
        <f>FV($D$19,$A28*12,$D$17*-1)</f>
        <v>2161084.8275023573</v>
      </c>
      <c r="D28" s="30">
        <f>C28*rendimento_carteira</f>
        <v>12966.508965014144</v>
      </c>
    </row>
    <row r="29" spans="1:4" x14ac:dyDescent="0.25"/>
    <row r="30" spans="1:4" x14ac:dyDescent="0.25"/>
    <row r="31" spans="1:4" x14ac:dyDescent="0.25"/>
    <row r="32" spans="1:4" x14ac:dyDescent="0.25">
      <c r="B32" s="41" t="s">
        <v>18</v>
      </c>
      <c r="C32" s="42" t="s">
        <v>30</v>
      </c>
      <c r="D32" s="39"/>
    </row>
    <row r="33" spans="2:4" x14ac:dyDescent="0.25">
      <c r="B33" s="43" t="s">
        <v>17</v>
      </c>
      <c r="C33" s="44">
        <f>aporte</f>
        <v>500</v>
      </c>
      <c r="D33" s="45"/>
    </row>
    <row r="34" spans="2:4" x14ac:dyDescent="0.25">
      <c r="C34" s="4"/>
    </row>
    <row r="35" spans="2:4" x14ac:dyDescent="0.25">
      <c r="B35" s="47" t="s">
        <v>19</v>
      </c>
      <c r="C35" s="47" t="s">
        <v>20</v>
      </c>
      <c r="D35" s="47" t="s">
        <v>21</v>
      </c>
    </row>
    <row r="36" spans="2:4" x14ac:dyDescent="0.25">
      <c r="B36" s="46" t="s">
        <v>22</v>
      </c>
      <c r="C36" s="49">
        <f>VLOOKUP($C$32&amp;"-"&amp;B36,dados!A:D,4,FALSE)</f>
        <v>0.5</v>
      </c>
      <c r="D36" s="40">
        <f>C36*$C$33</f>
        <v>250</v>
      </c>
    </row>
    <row r="37" spans="2:4" x14ac:dyDescent="0.25">
      <c r="B37" s="46" t="s">
        <v>23</v>
      </c>
      <c r="C37" s="49">
        <f>VLOOKUP($C$32&amp;"-"&amp;B37,dados!A:D,4,FALSE)</f>
        <v>0.1</v>
      </c>
      <c r="D37" s="40">
        <f t="shared" ref="D37:D41" si="0">C37*$C$33</f>
        <v>50</v>
      </c>
    </row>
    <row r="38" spans="2:4" x14ac:dyDescent="0.25">
      <c r="B38" s="46" t="s">
        <v>24</v>
      </c>
      <c r="C38" s="49">
        <f>VLOOKUP($C$32&amp;"-"&amp;B38,dados!A:D,4,FALSE)</f>
        <v>0.05</v>
      </c>
      <c r="D38" s="40">
        <f t="shared" si="0"/>
        <v>25</v>
      </c>
    </row>
    <row r="39" spans="2:4" x14ac:dyDescent="0.25">
      <c r="B39" s="46" t="s">
        <v>25</v>
      </c>
      <c r="C39" s="49">
        <f>VLOOKUP($C$32&amp;"-"&amp;B39,dados!A:D,4,FALSE)</f>
        <v>0.05</v>
      </c>
      <c r="D39" s="40">
        <f t="shared" si="0"/>
        <v>25</v>
      </c>
    </row>
    <row r="40" spans="2:4" x14ac:dyDescent="0.25">
      <c r="B40" s="46" t="s">
        <v>26</v>
      </c>
      <c r="C40" s="49">
        <f>VLOOKUP($C$32&amp;"-"&amp;B40,dados!A:D,4,FALSE)</f>
        <v>0.2</v>
      </c>
      <c r="D40" s="40">
        <f t="shared" si="0"/>
        <v>100</v>
      </c>
    </row>
    <row r="41" spans="2:4" x14ac:dyDescent="0.25">
      <c r="B41" s="46" t="s">
        <v>27</v>
      </c>
      <c r="C41" s="49">
        <f>VLOOKUP($C$32&amp;"-"&amp;B41,dados!A:D,4,FALSE)</f>
        <v>0.1</v>
      </c>
      <c r="D41" s="40">
        <f t="shared" si="0"/>
        <v>50</v>
      </c>
    </row>
    <row r="42" spans="2:4" x14ac:dyDescent="0.25">
      <c r="B42" s="48"/>
      <c r="C42" s="50"/>
      <c r="D42" s="51">
        <f>SUM(D36:D41)</f>
        <v>500</v>
      </c>
    </row>
    <row r="43" spans="2:4" x14ac:dyDescent="0.25"/>
    <row r="44" spans="2:4" x14ac:dyDescent="0.25"/>
    <row r="45" spans="2:4" x14ac:dyDescent="0.25"/>
    <row r="46" spans="2:4" x14ac:dyDescent="0.25"/>
    <row r="47" spans="2:4" x14ac:dyDescent="0.25"/>
    <row r="48" spans="2:4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hidden="1" x14ac:dyDescent="0.25"/>
    <row r="69" customFormat="1" hidden="1" x14ac:dyDescent="0.25"/>
    <row r="70" customFormat="1" hidden="1" x14ac:dyDescent="0.25"/>
    <row r="71" customFormat="1" hidden="1" x14ac:dyDescent="0.25"/>
    <row r="72" customFormat="1" hidden="1" x14ac:dyDescent="0.25"/>
    <row r="73" customFormat="1" hidden="1" x14ac:dyDescent="0.25"/>
    <row r="74" customFormat="1" hidden="1" x14ac:dyDescent="0.25"/>
    <row r="75" customFormat="1" hidden="1" x14ac:dyDescent="0.25"/>
    <row r="76" customFormat="1" hidden="1" x14ac:dyDescent="0.25"/>
    <row r="77" customFormat="1" hidden="1" x14ac:dyDescent="0.25"/>
    <row r="78" customFormat="1" hidden="1" x14ac:dyDescent="0.25"/>
    <row r="79" customFormat="1" hidden="1" x14ac:dyDescent="0.25"/>
  </sheetData>
  <mergeCells count="11">
    <mergeCell ref="B11:C11"/>
    <mergeCell ref="B12:C12"/>
    <mergeCell ref="B23:C23"/>
    <mergeCell ref="B18:C18"/>
    <mergeCell ref="B19:C19"/>
    <mergeCell ref="B20:C20"/>
    <mergeCell ref="B21:C21"/>
    <mergeCell ref="B13:C13"/>
    <mergeCell ref="B14:C14"/>
    <mergeCell ref="B16:C16"/>
    <mergeCell ref="B17:C17"/>
  </mergeCells>
  <dataValidations count="1">
    <dataValidation type="list" allowBlank="1" showInputMessage="1" showErrorMessage="1" sqref="C32" xr:uid="{B8DB67DC-2E65-4BB9-A779-1B83BF86D944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BF7A3-73E3-41D1-9D81-67FE70F41D57}">
  <dimension ref="A1:H20"/>
  <sheetViews>
    <sheetView workbookViewId="0">
      <selection activeCell="A6" sqref="A6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  <col min="7" max="7" width="16.85546875" bestFit="1" customWidth="1"/>
  </cols>
  <sheetData>
    <row r="1" spans="1:8" ht="15.75" thickBot="1" x14ac:dyDescent="0.3"/>
    <row r="2" spans="1:8" x14ac:dyDescent="0.25">
      <c r="A2" s="55" t="s">
        <v>31</v>
      </c>
      <c r="B2" s="56" t="s">
        <v>18</v>
      </c>
      <c r="C2" s="57" t="s">
        <v>19</v>
      </c>
      <c r="D2" s="58" t="s">
        <v>29</v>
      </c>
    </row>
    <row r="3" spans="1:8" x14ac:dyDescent="0.25">
      <c r="A3" s="6" t="str">
        <f>B3&amp;"-"&amp;C3</f>
        <v>Conservador-PAPEL</v>
      </c>
      <c r="B3" s="59" t="s">
        <v>28</v>
      </c>
      <c r="C3" s="60" t="s">
        <v>22</v>
      </c>
      <c r="D3" s="61">
        <v>0.3</v>
      </c>
      <c r="H3" t="s">
        <v>29</v>
      </c>
    </row>
    <row r="4" spans="1:8" x14ac:dyDescent="0.25">
      <c r="A4" s="6" t="str">
        <f t="shared" ref="A4:A20" si="0">B4&amp;"-"&amp;C4</f>
        <v>Conservador-TIJOLO</v>
      </c>
      <c r="B4" s="59" t="s">
        <v>28</v>
      </c>
      <c r="C4" s="60" t="s">
        <v>23</v>
      </c>
      <c r="D4" s="61">
        <v>0.5</v>
      </c>
      <c r="G4" s="39" t="s">
        <v>32</v>
      </c>
      <c r="H4" s="54">
        <f>VLOOKUP(G4,$A:$D,4,FALSE)</f>
        <v>0.35</v>
      </c>
    </row>
    <row r="5" spans="1:8" x14ac:dyDescent="0.25">
      <c r="A5" s="6" t="str">
        <f t="shared" si="0"/>
        <v>Conservador-HÍBRIDOS</v>
      </c>
      <c r="B5" s="59" t="s">
        <v>28</v>
      </c>
      <c r="C5" s="60" t="s">
        <v>24</v>
      </c>
      <c r="D5" s="61">
        <v>0.1</v>
      </c>
    </row>
    <row r="6" spans="1:8" x14ac:dyDescent="0.25">
      <c r="A6" s="6" t="str">
        <f t="shared" si="0"/>
        <v>Conservador-FOFs</v>
      </c>
      <c r="B6" s="59" t="s">
        <v>28</v>
      </c>
      <c r="C6" s="60" t="s">
        <v>25</v>
      </c>
      <c r="D6" s="61">
        <v>0.1</v>
      </c>
    </row>
    <row r="7" spans="1:8" x14ac:dyDescent="0.25">
      <c r="A7" s="6" t="str">
        <f t="shared" si="0"/>
        <v>Conservador-DESENVOLVIMENTO</v>
      </c>
      <c r="B7" s="59" t="s">
        <v>28</v>
      </c>
      <c r="C7" s="60" t="s">
        <v>26</v>
      </c>
      <c r="D7" s="61">
        <v>0</v>
      </c>
    </row>
    <row r="8" spans="1:8" ht="15.75" thickBot="1" x14ac:dyDescent="0.3">
      <c r="A8" s="7" t="str">
        <f t="shared" si="0"/>
        <v>Conservador-HOTELARIAS</v>
      </c>
      <c r="B8" s="52" t="s">
        <v>28</v>
      </c>
      <c r="C8" s="53" t="s">
        <v>27</v>
      </c>
      <c r="D8" s="62">
        <v>0</v>
      </c>
    </row>
    <row r="9" spans="1:8" x14ac:dyDescent="0.25">
      <c r="A9" s="6" t="str">
        <f t="shared" si="0"/>
        <v>Moderado-PAPEL</v>
      </c>
      <c r="B9" s="59" t="s">
        <v>16</v>
      </c>
      <c r="C9" s="60" t="s">
        <v>22</v>
      </c>
      <c r="D9" s="61">
        <v>0.32</v>
      </c>
    </row>
    <row r="10" spans="1:8" x14ac:dyDescent="0.25">
      <c r="A10" s="63" t="str">
        <f t="shared" si="0"/>
        <v>Moderado-TIJOLO</v>
      </c>
      <c r="B10" s="64" t="s">
        <v>16</v>
      </c>
      <c r="C10" s="65" t="s">
        <v>23</v>
      </c>
      <c r="D10" s="66">
        <v>0.35</v>
      </c>
    </row>
    <row r="11" spans="1:8" x14ac:dyDescent="0.25">
      <c r="A11" s="6" t="str">
        <f t="shared" si="0"/>
        <v>Moderado-HÍBRIDOS</v>
      </c>
      <c r="B11" s="59" t="s">
        <v>16</v>
      </c>
      <c r="C11" s="60" t="s">
        <v>24</v>
      </c>
      <c r="D11" s="61">
        <v>0.08</v>
      </c>
    </row>
    <row r="12" spans="1:8" x14ac:dyDescent="0.25">
      <c r="A12" s="6" t="str">
        <f t="shared" si="0"/>
        <v>Moderado-FOFs</v>
      </c>
      <c r="B12" s="59" t="s">
        <v>16</v>
      </c>
      <c r="C12" s="60" t="s">
        <v>25</v>
      </c>
      <c r="D12" s="61">
        <v>0.05</v>
      </c>
    </row>
    <row r="13" spans="1:8" x14ac:dyDescent="0.25">
      <c r="A13" s="6" t="str">
        <f t="shared" si="0"/>
        <v>Moderado-DESENVOLVIMENTO</v>
      </c>
      <c r="B13" s="59" t="s">
        <v>16</v>
      </c>
      <c r="C13" s="60" t="s">
        <v>26</v>
      </c>
      <c r="D13" s="61">
        <v>0.1</v>
      </c>
    </row>
    <row r="14" spans="1:8" ht="15.75" thickBot="1" x14ac:dyDescent="0.3">
      <c r="A14" s="7" t="str">
        <f t="shared" si="0"/>
        <v>Moderado-HOTELARIAS</v>
      </c>
      <c r="B14" s="52" t="s">
        <v>16</v>
      </c>
      <c r="C14" s="53" t="s">
        <v>27</v>
      </c>
      <c r="D14" s="62">
        <v>0.1</v>
      </c>
    </row>
    <row r="15" spans="1:8" x14ac:dyDescent="0.25">
      <c r="A15" s="6" t="str">
        <f t="shared" si="0"/>
        <v>Agressivo-PAPEL</v>
      </c>
      <c r="B15" s="59" t="s">
        <v>30</v>
      </c>
      <c r="C15" s="60" t="s">
        <v>22</v>
      </c>
      <c r="D15" s="61">
        <v>0.5</v>
      </c>
    </row>
    <row r="16" spans="1:8" x14ac:dyDescent="0.25">
      <c r="A16" s="6" t="str">
        <f t="shared" si="0"/>
        <v>Agressivo-TIJOLO</v>
      </c>
      <c r="B16" s="59" t="s">
        <v>30</v>
      </c>
      <c r="C16" s="60" t="s">
        <v>23</v>
      </c>
      <c r="D16" s="61">
        <v>0.1</v>
      </c>
    </row>
    <row r="17" spans="1:4" x14ac:dyDescent="0.25">
      <c r="A17" s="6" t="str">
        <f t="shared" si="0"/>
        <v>Agressivo-HÍBRIDOS</v>
      </c>
      <c r="B17" s="59" t="s">
        <v>30</v>
      </c>
      <c r="C17" s="60" t="s">
        <v>24</v>
      </c>
      <c r="D17" s="61">
        <v>0.05</v>
      </c>
    </row>
    <row r="18" spans="1:4" x14ac:dyDescent="0.25">
      <c r="A18" s="6" t="str">
        <f t="shared" si="0"/>
        <v>Agressivo-FOFs</v>
      </c>
      <c r="B18" s="59" t="s">
        <v>30</v>
      </c>
      <c r="C18" s="60" t="s">
        <v>25</v>
      </c>
      <c r="D18" s="61">
        <v>0.05</v>
      </c>
    </row>
    <row r="19" spans="1:4" x14ac:dyDescent="0.25">
      <c r="A19" s="6" t="str">
        <f t="shared" si="0"/>
        <v>Agressivo-DESENVOLVIMENTO</v>
      </c>
      <c r="B19" s="59" t="s">
        <v>30</v>
      </c>
      <c r="C19" s="60" t="s">
        <v>26</v>
      </c>
      <c r="D19" s="61">
        <v>0.2</v>
      </c>
    </row>
    <row r="20" spans="1:4" ht="15.75" thickBot="1" x14ac:dyDescent="0.3">
      <c r="A20" s="7" t="str">
        <f t="shared" si="0"/>
        <v>Agressivo-HOTELARIAS</v>
      </c>
      <c r="B20" s="52" t="s">
        <v>30</v>
      </c>
      <c r="C20" s="53" t="s">
        <v>27</v>
      </c>
      <c r="D20" s="62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dados</vt:lpstr>
      <vt:lpstr>aporte</vt:lpstr>
      <vt:lpstr>patrimonio</vt:lpstr>
      <vt:lpstr>qtde_anos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Gláucia Brito</dc:creator>
  <cp:lastModifiedBy>Gláucia Brito</cp:lastModifiedBy>
  <dcterms:created xsi:type="dcterms:W3CDTF">2026-02-14T07:57:59Z</dcterms:created>
  <dcterms:modified xsi:type="dcterms:W3CDTF">2026-02-14T12:17:49Z</dcterms:modified>
</cp:coreProperties>
</file>