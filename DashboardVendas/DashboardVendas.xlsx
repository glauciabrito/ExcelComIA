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aub\Documents\CursosOnline\dio\excel\DashboardVendas\"/>
    </mc:Choice>
  </mc:AlternateContent>
  <xr:revisionPtr revIDLastSave="0" documentId="13_ncr:1_{CAE4E47E-4AD3-4D71-A375-CD4C769C6E97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7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<sst xmlns="http://schemas.openxmlformats.org/spreadsheetml/2006/main" count="2022" uniqueCount="324">
  <si>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</si>
  <si>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</si>
  <si>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</si>
  <si>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</si>
  <si>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</si>
  <si>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</si>
  <si>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</si>
  <si>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</si>
  <si>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</si>
  <si>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</si>
  <si>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</si>
  <si>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</si>
  <si>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</si>
  <si>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</si>
  <si>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</si>
  <si>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</si>
  <si>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</si>
  <si>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</si>
  <si>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</si>
  <si>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</si>
  <si>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</si>
  <si>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</si>
  <si>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</si>
  <si>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</si>
  <si>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</si>
  <si>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</si>
  <si>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</si>
  <si>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</si>
  <si>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</si>
  <si>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</si>
  <si>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</si>
  <si>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</si>
  <si>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</si>
  <si>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</si>
  <si>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</si>
  <si>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</si>
  <si>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</si>
  <si>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</si>
  <si>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</si>
  <si>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</si>
  <si>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</si>
  <si>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</si>
  <si>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</si>
  <si>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</si>
  <si>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</si>
  <si>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</si>
  <si>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</si>
  <si>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</si>
  <si>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</si>
  <si>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</si>
  <si>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</si>
  <si>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</si>
  <si>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</si>
  <si>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</si>
  <si>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</si>
  <si>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</si>
  <si>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</si>
  <si>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</si>
  <si>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</si>
  <si>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</si>
  <si>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</si>
  <si>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</si>
  <si>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</si>
  <si>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</si>
  <si>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</si>
  <si>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</si>
  <si>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</si>
  <si>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</si>
  <si>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</si>
  <si>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</si>
  <si>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</si>
  <si>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</si>
  <si>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</si>
  <si>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</si>
  <si>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</si>
  <si>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</si>
  <si>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</si>
  <si>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</si>
  <si>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</si>
  <si>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</si>
  <si>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</si>
  <si>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</si>
  <si>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</si>
  <si>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</si>
  <si>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</si>
  <si>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</si>
  <si>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</si>
  <si>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</si>
  <si>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</si>
  <si>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</si>
  <si>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</si>
  <si>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</si>
  <si>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</si>
  <si>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</si>
  <si>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</si>
  <si>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</si>
  <si>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</si>
  <si>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</si>
  <si>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</si>
  <si>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</si>
  <si>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</si>
  <si>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</si>
  <si>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</si>
  <si>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</si>
  <si>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</si>
  <si>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</si>
  <si>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</si>
  <si>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</si>
  <si>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</si>
  <si>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</si>
  <si>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</si>
  <si>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</si>
  <si>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</si>
  <si>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</si>
  <si>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</si>
  <si>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</si>
  <si>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</si>
  <si>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</si>
  <si>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</si>
  <si>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</si>
  <si>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</si>
  <si>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</si>
  <si>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</si>
  <si>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</si>
  <si>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</si>
  <si>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</si>
  <si>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</si>
  <si>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</si>
  <si>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</si>
  <si>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</si>
  <si>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</si>
  <si>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</si>
  <si>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</si>
  <si>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</si>
  <si>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</si>
  <si>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</si>
  <si>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</si>
  <si>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</si>
  <si>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</si>
  <si>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</si>
  <si>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</si>
  <si>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</si>
  <si>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</si>
  <si>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</si>
  <si>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</si>
  <si>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</si>
  <si>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</si>
  <si>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</si>
  <si>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</si>
  <si>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</si>
  <si>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</si>
  <si>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</si>
  <si>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</si>
  <si>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</si>
  <si>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</si>
  <si>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</si>
  <si>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</si>
  <si>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</si>
  <si>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</si>
  <si>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</si>
  <si>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</si>
  <si>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</si>
  <si>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</si>
  <si>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</si>
  <si>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</si>
  <si>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</si>
  <si>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</si>
  <si>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</si>
  <si>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</si>
  <si>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</si>
  <si>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</si>
  <si>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</si>
  <si>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</si>
  <si>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</si>
  <si>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</si>
  <si>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</si>
  <si>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</si>
  <si>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</si>
  <si>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</si>
  <si>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</si>
  <si>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</si>
  <si>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</si>
  <si>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</si>
  <si>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</si>
  <si>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</si>
  <si>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</si>
  <si>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</si>
  <si>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</si>
  <si>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</si>
  <si>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</si>
  <si>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</si>
  <si>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</si>
  <si>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</si>
  <si>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</si>
  <si>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</si>
  <si>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</si>
  <si>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</si>
  <si>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</si>
  <si>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</si>
  <si>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</si>
  <si>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</si>
  <si>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</si>
  <si>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</si>
  <si>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</si>
  <si>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</si>
  <si>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</si>
  <si>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</si>
  <si>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</si>
  <si>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</si>
  <si>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</si>
  <si>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</si>
  <si>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</si>
  <si>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</si>
  <si>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</si>
  <si>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</si>
  <si>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</si>
  <si>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</si>
  <si>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</si>
  <si>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</si>
  <si>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</si>
  <si>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</si>
  <si>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</si>
  <si>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</si>
  <si>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</si>
  <si>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</si>
  <si>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</si>
  <si>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</si>
  <si>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</si>
  <si>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</si>
  <si>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</si>
  <si>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</si>
  <si>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</si>
  <si>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</si>
  <si>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</si>
  <si>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</si>
  <si>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</si>
  <si>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</si>
  <si>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</si>
  <si>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</si>
  <si>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</si>
  <si>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</si>
  <si>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</si>
  <si>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</si>
  <si>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</si>
  <si>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</si>
  <si>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</si>
  <si>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</si>
  <si>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</si>
  <si>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</si>
  <si>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</si>
  <si>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</si>
  <si>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</si>
  <si>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</si>
  <si>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</si>
  <si>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</si>
  <si>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</si>
  <si>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</si>
  <si>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</si>
  <si>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</si>
  <si>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</si>
  <si>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</si>
  <si>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</si>
  <si>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</si>
  <si>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</si>
  <si>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</si>
  <si>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</si>
  <si>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</si>
  <si>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</si>
  <si>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</si>
  <si>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</si>
  <si>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</si>
  <si>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</si>
  <si>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</si>
  <si>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</si>
  <si>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</si>
  <si>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</si>
  <si>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</si>
  <si>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</si>
  <si>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</si>
  <si>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</si>
  <si>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</si>
  <si>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</si>
  <si>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</si>
  <si>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</si>
  <si>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</si>
  <si>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</si>
  <si>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</si>
  <si>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</si>
  <si>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</si>
  <si>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</si>
  <si>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</si>
  <si>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</si>
  <si>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</si>
  <si>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</si>
  <si>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</si>
  <si>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</si>
  <si>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</si>
  <si>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</si>
  <si>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</si>
  <si>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</si>
  <si>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</si>
  <si>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</si>
  <si>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</si>
  <si>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</si>
  <si>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</si>
  <si>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</si>
  <si>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</si>
  <si>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</si>
  <si>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</si>
  <si>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</si>
  <si>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</si>
  <si>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</si>
  <si>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</si>
  <si>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Negócio</t>
  </si>
  <si>
    <t>Rótulos de Linha</t>
  </si>
  <si>
    <t>Total Geral</t>
  </si>
  <si>
    <t>Soma de Total Value</t>
  </si>
  <si>
    <t>Soma de EA Play Season Pass</t>
  </si>
  <si>
    <r>
      <t xml:space="preserve">1. </t>
    </r>
    <r>
      <rPr>
        <b/>
        <sz val="11"/>
        <color theme="1"/>
        <rFont val="Aptos Narrow"/>
        <family val="2"/>
      </rPr>
      <t>Faturamento total</t>
    </r>
    <r>
      <rPr>
        <sz val="11"/>
        <color theme="1"/>
        <rFont val="Aptos Narrow"/>
        <family val="2"/>
      </rPr>
      <t xml:space="preserve"> de vendas de </t>
    </r>
    <r>
      <rPr>
        <b/>
        <sz val="11"/>
        <color theme="1"/>
        <rFont val="Aptos Narrow"/>
        <family val="2"/>
      </rPr>
      <t>planos anuais</t>
    </r>
    <r>
      <rPr>
        <sz val="11"/>
        <color theme="1"/>
        <rFont val="Aptos Narrow"/>
        <family val="2"/>
      </rPr>
      <t xml:space="preserve"> (contendo </t>
    </r>
    <r>
      <rPr>
        <b/>
        <sz val="11"/>
        <color theme="1"/>
        <rFont val="Aptos Narrow"/>
        <family val="2"/>
      </rPr>
      <t>todas as assinaturas agregadas</t>
    </r>
    <r>
      <rPr>
        <sz val="11"/>
        <color theme="1"/>
        <rFont val="Aptos Narrow"/>
        <family val="2"/>
      </rPr>
      <t>)</t>
    </r>
  </si>
  <si>
    <r>
      <t xml:space="preserve">2.  </t>
    </r>
    <r>
      <rPr>
        <b/>
        <sz val="11"/>
        <color theme="1"/>
        <rFont val="Aptos Narrow"/>
        <family val="2"/>
      </rPr>
      <t xml:space="preserve">Faturamento total </t>
    </r>
    <r>
      <rPr>
        <sz val="11"/>
        <color theme="1"/>
        <rFont val="Aptos Narrow"/>
        <family val="2"/>
      </rPr>
      <t xml:space="preserve">de vendas de planos anuais, </t>
    </r>
    <r>
      <rPr>
        <u/>
        <sz val="11"/>
        <color theme="1"/>
        <rFont val="Aptos Narrow"/>
        <family val="2"/>
      </rPr>
      <t>separado por</t>
    </r>
    <r>
      <rPr>
        <b/>
        <sz val="11"/>
        <color theme="1"/>
        <rFont val="Aptos Narrow"/>
        <family val="2"/>
      </rPr>
      <t>: auto renovação/ não é</t>
    </r>
    <r>
      <rPr>
        <sz val="11"/>
        <color theme="1"/>
        <rFont val="Aptos Narrow"/>
        <family val="2"/>
      </rPr>
      <t xml:space="preserve"> auto renovação</t>
    </r>
  </si>
  <si>
    <t xml:space="preserve"> XBOX GAME PASS SUBSCRIPTIONS SALES</t>
  </si>
  <si>
    <r>
      <t xml:space="preserve">4.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Minecraft Season Pass</t>
    </r>
  </si>
  <si>
    <r>
      <t xml:space="preserve">3.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EA Play</t>
    </r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</si>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</sst>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u/>
      <sz val="11"/>
      <color theme="1"/>
      <name val="Aptos Narrow"/>
      <family val="2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8" fillId="0" borderId="2" xfId="1" applyFont="1" applyBorder="1" applyAlignment="1">
      <alignment horizontal="left" indent="7"/>
    </xf>
    <xf numFmtId="0" fontId="9" fillId="0" borderId="2" xfId="1" applyFont="1" applyBorder="1"/>
    <xf numFmtId="0" fontId="0" fillId="0" borderId="2" xfId="0" applyBorder="1"/>
    <xf numFmtId="164" fontId="0" fillId="0" borderId="0" xfId="0" applyNumberFormat="1"/>
    <xf numFmtId="0" fontId="4" fillId="8" borderId="0" xfId="3"/>
  </cellXfs>
  <cellStyles count="4">
    <cellStyle name="Bom" xfId="3" builtinId="26"/>
    <cellStyle name="Moeda" xfId="2" builtinId="4"/>
    <cellStyle name="Normal" xfId="0" builtinId="0"/>
    <cellStyle name="Título 1" xfId="1" builtinId="16"/>
  </cellStyles>
  <dxfs count="18"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4B5C3DD2-4044-4879-B695-F3667237464E}">
      <tableStyleElement type="wholeTable" dxfId="17"/>
      <tableStyleElement type="headerRow" dxfId="16"/>
    </tableStyle>
  </tableStyles>
  <colors>
    <mruColors>
      <color rgb="FF9BC848"/>
      <color rgb="FF22C55E"/>
      <color rgb="FFE8E6E9"/>
      <color rgb="FF2AE6B1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[DashboardVendas.xlsx]C̳álculos!tbl_annual_total</c:name>
    <c:fmtId val="5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5-4FCE-BF91-C98F044AA1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5766992"/>
        <c:axId val="1225767952"/>
      </c:barChart>
      <c:catAx>
        <c:axId val="122576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5767952"/>
        <c:crosses val="autoZero"/>
        <c:auto val="1"/>
        <c:lblAlgn val="ctr"/>
        <c:lblOffset val="100"/>
        <c:noMultiLvlLbl val="0"/>
      </c:catAx>
      <c:valAx>
        <c:axId val="12257679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2576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8</xdr:row>
      <xdr:rowOff>119062</xdr:rowOff>
    </xdr:from>
    <xdr:to>
      <xdr:col>0</xdr:col>
      <xdr:colOff>2068286</xdr:colOff>
      <xdr:row>22</xdr:row>
      <xdr:rowOff>119062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B2848E9D-2C8D-4770-99BD-820E12FCC9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74383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392906</xdr:colOff>
      <xdr:row>1</xdr:row>
      <xdr:rowOff>73139</xdr:rowOff>
    </xdr:from>
    <xdr:to>
      <xdr:col>0</xdr:col>
      <xdr:colOff>1088231</xdr:colOff>
      <xdr:row>4</xdr:row>
      <xdr:rowOff>65995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CF23795F-AA7C-41BE-BE25-974BE241B3A2}"/>
            </a:ext>
          </a:extLst>
        </xdr:cNvPr>
        <xdr:cNvSpPr/>
      </xdr:nvSpPr>
      <xdr:spPr>
        <a:xfrm>
          <a:off x="392906" y="263639"/>
          <a:ext cx="695325" cy="68682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154781</xdr:colOff>
      <xdr:row>5</xdr:row>
      <xdr:rowOff>71437</xdr:rowOff>
    </xdr:from>
    <xdr:to>
      <xdr:col>0</xdr:col>
      <xdr:colOff>1733210</xdr:colOff>
      <xdr:row>6</xdr:row>
      <xdr:rowOff>181775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7391AA4-4D64-4A8A-8A69-84C26E33B49A}"/>
            </a:ext>
          </a:extLst>
        </xdr:cNvPr>
        <xdr:cNvSpPr/>
      </xdr:nvSpPr>
      <xdr:spPr>
        <a:xfrm>
          <a:off x="154781" y="1095375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 Welcome,</a:t>
          </a:r>
          <a:r>
            <a:rPr lang="pt-BR" sz="1100" b="1" kern="1200" baseline="0"/>
            <a:t> </a:t>
          </a:r>
          <a:r>
            <a:rPr lang="pt-BR" sz="1100" b="1" kern="1200"/>
            <a:t>Joel!</a:t>
          </a:r>
        </a:p>
      </xdr:txBody>
    </xdr:sp>
    <xdr:clientData/>
  </xdr:twoCellAnchor>
  <xdr:twoCellAnchor editAs="absolute">
    <xdr:from>
      <xdr:col>1</xdr:col>
      <xdr:colOff>23013</xdr:colOff>
      <xdr:row>0</xdr:row>
      <xdr:rowOff>78441</xdr:rowOff>
    </xdr:from>
    <xdr:to>
      <xdr:col>2</xdr:col>
      <xdr:colOff>475651</xdr:colOff>
      <xdr:row>2</xdr:row>
      <xdr:rowOff>84336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9783483-4216-41AC-B99D-834E4D9536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24507" r="72773" b="18468"/>
        <a:stretch>
          <a:fillRect/>
        </a:stretch>
      </xdr:blipFill>
      <xdr:spPr>
        <a:xfrm>
          <a:off x="2140925" y="78441"/>
          <a:ext cx="687961" cy="689454"/>
        </a:xfrm>
        <a:prstGeom prst="rect">
          <a:avLst/>
        </a:prstGeom>
      </xdr:spPr>
    </xdr:pic>
    <xdr:clientData/>
  </xdr:twoCellAnchor>
  <xdr:twoCellAnchor editAs="absolute">
    <xdr:from>
      <xdr:col>1</xdr:col>
      <xdr:colOff>213710</xdr:colOff>
      <xdr:row>5</xdr:row>
      <xdr:rowOff>89650</xdr:rowOff>
    </xdr:from>
    <xdr:to>
      <xdr:col>9</xdr:col>
      <xdr:colOff>407444</xdr:colOff>
      <xdr:row>13</xdr:row>
      <xdr:rowOff>62715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094D19F-A53C-4F6D-BCEC-3DC676F48758}"/>
            </a:ext>
          </a:extLst>
        </xdr:cNvPr>
        <xdr:cNvGrpSpPr/>
      </xdr:nvGrpSpPr>
      <xdr:grpSpPr>
        <a:xfrm>
          <a:off x="2331622" y="1109385"/>
          <a:ext cx="4664881" cy="1653948"/>
          <a:chOff x="2095500" y="1143001"/>
          <a:chExt cx="4655344" cy="1647821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8C8329A9-895B-E83A-719B-A12E9CE7C3CC}"/>
              </a:ext>
            </a:extLst>
          </xdr:cNvPr>
          <xdr:cNvSpPr/>
        </xdr:nvSpPr>
        <xdr:spPr>
          <a:xfrm>
            <a:off x="2095500" y="1202530"/>
            <a:ext cx="4655344" cy="1512093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34E60160-D95C-49E7-EF47-71B5203181EE}"/>
              </a:ext>
            </a:extLst>
          </xdr:cNvPr>
          <xdr:cNvSpPr/>
        </xdr:nvSpPr>
        <xdr:spPr>
          <a:xfrm>
            <a:off x="3212308" y="1709736"/>
            <a:ext cx="3026569" cy="942974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5B92185-5034-47AF-A3F1-836B638B44AA}" type="TxLink">
              <a:rPr lang="en-US" sz="3600" b="1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 b="1" kern="1200">
              <a:solidFill>
                <a:srgbClr val="22C55E"/>
              </a:solidFill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F09D7481-547C-BE4E-666C-E6F2AD0112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3"/>
            <a:ext cx="1219200" cy="1219199"/>
          </a:xfrm>
          <a:prstGeom prst="rect">
            <a:avLst/>
          </a:prstGeom>
        </xdr:spPr>
      </xdr:pic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84E4F3CB-FE31-AF5B-4DF4-586950AA0AE6}"/>
              </a:ext>
            </a:extLst>
          </xdr:cNvPr>
          <xdr:cNvSpPr/>
        </xdr:nvSpPr>
        <xdr:spPr>
          <a:xfrm>
            <a:off x="2095500" y="1143001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- EA PLAY SEASON PASS</a:t>
            </a:r>
          </a:p>
        </xdr:txBody>
      </xdr:sp>
    </xdr:grpSp>
    <xdr:clientData/>
  </xdr:twoCellAnchor>
  <xdr:twoCellAnchor>
    <xdr:from>
      <xdr:col>11</xdr:col>
      <xdr:colOff>0</xdr:colOff>
      <xdr:row>5</xdr:row>
      <xdr:rowOff>112060</xdr:rowOff>
    </xdr:from>
    <xdr:to>
      <xdr:col>18</xdr:col>
      <xdr:colOff>601896</xdr:colOff>
      <xdr:row>13</xdr:row>
      <xdr:rowOff>9946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C0F298CD-5153-4BD8-9AE4-4928FBBF2040}"/>
            </a:ext>
          </a:extLst>
        </xdr:cNvPr>
        <xdr:cNvGrpSpPr/>
      </xdr:nvGrpSpPr>
      <xdr:grpSpPr>
        <a:xfrm>
          <a:off x="7799294" y="1131795"/>
          <a:ext cx="4669631" cy="1578769"/>
          <a:chOff x="7534275" y="1247775"/>
          <a:chExt cx="4655344" cy="1571625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8D501942-6177-5BE5-DAA2-6658738E5A15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F52CD912-366A-C64C-9A17-4E6B4594203F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7">
          <xdr:nvSpPr>
            <xdr:cNvPr id="24" name="Retângulo: Cantos Arredondados 23">
              <a:extLst>
                <a:ext uri="{FF2B5EF4-FFF2-40B4-BE49-F238E27FC236}">
                  <a16:creationId xmlns:a16="http://schemas.microsoft.com/office/drawing/2014/main" id="{0195B377-3EE4-F906-ACC5-176CC6CA4BF4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34A8DA4-85C6-4515-A5B6-92694CAF6883}" type="TxLink">
                <a:rPr lang="en-US" sz="3600" b="1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R$ 940,00</a:t>
              </a:fld>
              <a:endParaRPr lang="pt-BR" sz="3600" b="1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C549FFD7-2043-8011-3557-595B3DE20E3A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- MINECRAFT</a:t>
              </a:r>
              <a:r>
                <a:rPr lang="pt-BR" sz="12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2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CFFB2532-5F86-ED48-7652-2DC2C3873829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8757D358-1DE9-7A2A-2227-EB1BF50FCD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7D5BDDEE-E0FD-4288-A94C-68BAEDA5CA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11557</xdr:colOff>
      <xdr:row>2</xdr:row>
      <xdr:rowOff>11136</xdr:rowOff>
    </xdr:from>
    <xdr:to>
      <xdr:col>9</xdr:col>
      <xdr:colOff>373899</xdr:colOff>
      <xdr:row>4</xdr:row>
      <xdr:rowOff>41788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CA69B3A9-6186-4E26-A28B-AC06C81C9B98}"/>
            </a:ext>
          </a:extLst>
        </xdr:cNvPr>
        <xdr:cNvSpPr/>
      </xdr:nvSpPr>
      <xdr:spPr>
        <a:xfrm>
          <a:off x="2363818" y="698593"/>
          <a:ext cx="4652733" cy="2377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01/01/2025 01:00:00</a:t>
          </a:r>
        </a:p>
      </xdr:txBody>
    </xdr:sp>
    <xdr:clientData/>
  </xdr:twoCellAnchor>
  <xdr:twoCellAnchor>
    <xdr:from>
      <xdr:col>1</xdr:col>
      <xdr:colOff>184094</xdr:colOff>
      <xdr:row>14</xdr:row>
      <xdr:rowOff>78442</xdr:rowOff>
    </xdr:from>
    <xdr:to>
      <xdr:col>19</xdr:col>
      <xdr:colOff>84825</xdr:colOff>
      <xdr:row>37</xdr:row>
      <xdr:rowOff>78441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31DE3503-4340-0705-FC4A-A7E31A020FC0}"/>
            </a:ext>
          </a:extLst>
        </xdr:cNvPr>
        <xdr:cNvGrpSpPr/>
      </xdr:nvGrpSpPr>
      <xdr:grpSpPr>
        <a:xfrm>
          <a:off x="2302006" y="2969560"/>
          <a:ext cx="10254966" cy="4381499"/>
          <a:chOff x="2143523" y="2976763"/>
          <a:chExt cx="10378231" cy="4381499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AE90BB4-AD47-33C6-DFC5-88BC956EF771}"/>
              </a:ext>
            </a:extLst>
          </xdr:cNvPr>
          <xdr:cNvSpPr/>
        </xdr:nvSpPr>
        <xdr:spPr>
          <a:xfrm>
            <a:off x="2160602" y="2976854"/>
            <a:ext cx="10354768" cy="4381408"/>
          </a:xfrm>
          <a:prstGeom prst="roundRect">
            <a:avLst>
              <a:gd name="adj" fmla="val 475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F5DF8646-1989-483E-B364-0D88654D94B8}"/>
              </a:ext>
            </a:extLst>
          </xdr:cNvPr>
          <xdr:cNvGraphicFramePr>
            <a:graphicFrameLocks/>
          </xdr:cNvGraphicFramePr>
        </xdr:nvGraphicFramePr>
        <xdr:xfrm>
          <a:off x="2721580" y="3325968"/>
          <a:ext cx="8975690" cy="40218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2783FE4E-192B-4236-9ADD-3CEB489053C1}"/>
              </a:ext>
            </a:extLst>
          </xdr:cNvPr>
          <xdr:cNvSpPr/>
        </xdr:nvSpPr>
        <xdr:spPr>
          <a:xfrm>
            <a:off x="2143523" y="2976763"/>
            <a:ext cx="10378231" cy="663862"/>
          </a:xfrm>
          <a:prstGeom prst="round2SameRect">
            <a:avLst>
              <a:gd name="adj1" fmla="val 2407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- XBOX</a:t>
            </a:r>
            <a:r>
              <a:rPr lang="pt-BR" sz="12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GAME PASS</a:t>
            </a:r>
            <a:endParaRPr lang="pt-BR" sz="12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áucia Brito" refreshedDate="46067.911397453703" createdVersion="8" refreshedVersion="8" minRefreshableVersion="3" recordCount="295" xr:uid="{245938DE-1737-466B-B094-FC16B145AB6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09785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7E984-50C2-4500-886E-B7278D428E79}" name="tbl_annual_total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AB10E-B934-450A-BB82-C8AEF7105FAA}" name="Tabela dinâmica6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3:C3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9AB1D-B580-4026-99AF-FC31B3250B2C}" name="tbl_easeasonpass_total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 numFmtId="164"/>
  </dataFields>
  <formats count="1">
    <format dxfId="1">
      <pivotArea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CAC8B0C-A1D3-4345-95B5-83E6ADA9FBED}" sourceName="Subscription Type">
  <pivotTables>
    <pivotTable tabId="3" name="tbl_annual_total"/>
    <pivotTable tabId="3" name="tbl_easeasonpass_total"/>
    <pivotTable tabId="3" name="Tabela dinâmica6"/>
  </pivotTables>
  <data>
    <tabular pivotCacheId="21097858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F0047F12-1B7B-4049-8D24-A175B43BF67F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rgb="FF9BC848"/>
  </sheetPr>
  <dimension ref="B3:P21"/>
  <sheetViews>
    <sheetView showGridLines="0" topLeftCell="A3" zoomScaleNormal="100" workbookViewId="0">
      <selection activeCell="D11" sqref="D1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rgb="FF9BC848"/>
  </sheetPr>
  <dimension ref="A1:M296"/>
  <sheetViews>
    <sheetView topLeftCell="A2" zoomScale="90" zoomScaleNormal="90" workbookViewId="0">
      <selection activeCell="D11" sqref="D1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rgb="FF9BC848"/>
  </sheetPr>
  <dimension ref="B3:F37"/>
  <sheetViews>
    <sheetView showGridLines="0" workbookViewId="0">
      <selection activeCell="D11" sqref="D11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1" t="s">
        <v>313</v>
      </c>
      <c r="C3" s="21"/>
      <c r="D3" s="21"/>
      <c r="E3" s="21"/>
      <c r="F3" s="21"/>
    </row>
    <row r="4" spans="2:6" x14ac:dyDescent="0.25">
      <c r="B4" s="13"/>
    </row>
    <row r="5" spans="2:6" x14ac:dyDescent="0.25">
      <c r="B5" s="12" t="s">
        <v>318</v>
      </c>
    </row>
    <row r="6" spans="2:6" x14ac:dyDescent="0.25">
      <c r="B6" s="12" t="s">
        <v>319</v>
      </c>
    </row>
    <row r="7" spans="2:6" x14ac:dyDescent="0.25">
      <c r="B7" s="12"/>
    </row>
    <row r="8" spans="2:6" x14ac:dyDescent="0.25">
      <c r="B8" s="14" t="s">
        <v>16</v>
      </c>
      <c r="C8" t="s">
        <v>24</v>
      </c>
    </row>
    <row r="10" spans="2:6" x14ac:dyDescent="0.25">
      <c r="B10" s="14" t="s">
        <v>314</v>
      </c>
      <c r="C10" t="s">
        <v>316</v>
      </c>
    </row>
    <row r="11" spans="2:6" x14ac:dyDescent="0.25">
      <c r="B11" s="15" t="s">
        <v>23</v>
      </c>
      <c r="C11" s="16">
        <v>217</v>
      </c>
    </row>
    <row r="12" spans="2:6" x14ac:dyDescent="0.25">
      <c r="B12" s="15" t="s">
        <v>19</v>
      </c>
      <c r="C12" s="16">
        <v>1537</v>
      </c>
    </row>
    <row r="13" spans="2:6" x14ac:dyDescent="0.25">
      <c r="B13" s="15" t="s">
        <v>315</v>
      </c>
      <c r="C13" s="16">
        <v>1754</v>
      </c>
    </row>
    <row r="17" spans="2:5" x14ac:dyDescent="0.25">
      <c r="B17" s="15" t="s">
        <v>322</v>
      </c>
    </row>
    <row r="19" spans="2:5" x14ac:dyDescent="0.25">
      <c r="B19" s="14" t="s">
        <v>16</v>
      </c>
      <c r="C19" t="s">
        <v>24</v>
      </c>
    </row>
    <row r="21" spans="2:5" x14ac:dyDescent="0.25">
      <c r="B21" s="14" t="s">
        <v>314</v>
      </c>
      <c r="C21" t="s">
        <v>317</v>
      </c>
    </row>
    <row r="22" spans="2:5" x14ac:dyDescent="0.25">
      <c r="B22" s="15" t="s">
        <v>22</v>
      </c>
      <c r="C22" s="20">
        <v>0</v>
      </c>
    </row>
    <row r="23" spans="2:5" x14ac:dyDescent="0.25">
      <c r="B23" s="15" t="s">
        <v>26</v>
      </c>
      <c r="C23" s="20">
        <v>0</v>
      </c>
    </row>
    <row r="24" spans="2:5" x14ac:dyDescent="0.25">
      <c r="B24" s="15" t="s">
        <v>18</v>
      </c>
      <c r="C24" s="20">
        <v>600</v>
      </c>
    </row>
    <row r="25" spans="2:5" x14ac:dyDescent="0.25">
      <c r="B25" s="15" t="s">
        <v>315</v>
      </c>
      <c r="C25" s="20">
        <v>600</v>
      </c>
      <c r="E25" s="20">
        <f>GETPIVOTDATA("EA Play Season Pass
Price",$B$21)</f>
        <v>600</v>
      </c>
    </row>
    <row r="29" spans="2:5" x14ac:dyDescent="0.25">
      <c r="B29" s="15" t="s">
        <v>321</v>
      </c>
    </row>
    <row r="31" spans="2:5" x14ac:dyDescent="0.25">
      <c r="B31" s="14" t="s">
        <v>16</v>
      </c>
      <c r="C31" t="s">
        <v>24</v>
      </c>
    </row>
    <row r="33" spans="2:5" x14ac:dyDescent="0.25">
      <c r="B33" s="14" t="s">
        <v>314</v>
      </c>
      <c r="C33" t="s">
        <v>323</v>
      </c>
    </row>
    <row r="34" spans="2:5" x14ac:dyDescent="0.25">
      <c r="B34" s="15" t="s">
        <v>22</v>
      </c>
      <c r="C34" s="16">
        <v>0</v>
      </c>
    </row>
    <row r="35" spans="2:5" x14ac:dyDescent="0.25">
      <c r="B35" s="15" t="s">
        <v>26</v>
      </c>
      <c r="C35" s="16">
        <v>540</v>
      </c>
    </row>
    <row r="36" spans="2:5" x14ac:dyDescent="0.25">
      <c r="B36" s="15" t="s">
        <v>18</v>
      </c>
      <c r="C36" s="16">
        <v>400</v>
      </c>
    </row>
    <row r="37" spans="2:5" x14ac:dyDescent="0.25">
      <c r="B37" s="15" t="s">
        <v>315</v>
      </c>
      <c r="C37" s="16">
        <v>940</v>
      </c>
      <c r="E37" s="20">
        <f>GETPIVOTDATA("Minecraft Season Pass Price",$B$33)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9BC848"/>
  </sheetPr>
  <dimension ref="A2:AS150"/>
  <sheetViews>
    <sheetView showGridLines="0" showRowColHeaders="0" tabSelected="1" zoomScale="85" zoomScaleNormal="85" workbookViewId="0">
      <selection activeCell="N1" sqref="N1"/>
    </sheetView>
  </sheetViews>
  <sheetFormatPr defaultRowHeight="15" x14ac:dyDescent="0.25"/>
  <cols>
    <col min="1" max="1" width="31.7109375" style="4" customWidth="1"/>
    <col min="2" max="2" width="3.5703125" customWidth="1"/>
    <col min="12" max="12" width="6.5703125" customWidth="1"/>
  </cols>
  <sheetData>
    <row r="2" spans="2:45" ht="39" customHeight="1" thickBot="1" x14ac:dyDescent="0.5">
      <c r="B2" s="17" t="s">
        <v>320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  <c r="R2" s="19"/>
      <c r="S2" s="18"/>
    </row>
    <row r="3" spans="2:45" ht="8.25" customHeight="1" thickTop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 spans="2:45" ht="7.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spans="2:45" ht="10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pans="2:45" ht="9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2:45" ht="33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2:45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spans="2:45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 spans="2:45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2:45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2:45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2:45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2:45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2:45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2:45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2:45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2:45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2:45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2:45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2:45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2:45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2:4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2:4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2:45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spans="2:45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2:45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2:45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spans="2:45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spans="2:45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2:45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spans="2:4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spans="2:4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2:45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2:45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spans="2:45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</row>
    <row r="37" spans="2:45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spans="2:45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  <row r="39" spans="2:45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</row>
    <row r="40" spans="2:45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</row>
    <row r="41" spans="2:4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</row>
    <row r="42" spans="2:4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2:45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</row>
    <row r="44" spans="2:45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</row>
    <row r="45" spans="2:45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spans="2:45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</row>
    <row r="47" spans="2:45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</row>
    <row r="48" spans="2:45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2:45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</row>
    <row r="50" spans="2:4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</row>
    <row r="51" spans="2:4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spans="2:45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2:45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2:45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2:45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2:45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2:45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2:45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2:4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2:4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2:45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2:45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2:45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2:45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2:45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2:45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2:45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2:4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2:4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2:4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2:4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2:45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2:45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2:45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2:45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2:45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2:4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2:4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2:45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2:45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2:45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2:45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2:45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spans="2:45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spans="2:45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spans="2:4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spans="2:4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spans="2:45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spans="2:45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spans="2:45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spans="2:45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2:45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</row>
    <row r="93" spans="2:45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</row>
    <row r="94" spans="2:45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</row>
    <row r="95" spans="2:4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</row>
    <row r="96" spans="2:4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</row>
    <row r="97" spans="2:45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</row>
    <row r="98" spans="2:45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</row>
    <row r="99" spans="2:45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</row>
    <row r="100" spans="2:45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2:45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</row>
    <row r="102" spans="2:45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</row>
    <row r="103" spans="2:45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</row>
    <row r="104" spans="2:4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</row>
    <row r="105" spans="2:4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</row>
    <row r="106" spans="2:45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</row>
    <row r="107" spans="2:45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</row>
    <row r="108" spans="2:45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</row>
    <row r="109" spans="2:45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2:45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</row>
    <row r="111" spans="2:45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</row>
    <row r="112" spans="2:45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</row>
    <row r="113" spans="2:4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</row>
    <row r="114" spans="2:4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spans="2:45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spans="2:45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spans="2:45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spans="2:45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2:45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spans="2:45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spans="2:45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spans="2:4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spans="2:4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spans="2:45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spans="2:45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spans="2:45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</row>
    <row r="127" spans="2:45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</row>
    <row r="128" spans="2:45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2:45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spans="2:45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</row>
    <row r="131" spans="2:45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 spans="2:45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2:45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</row>
    <row r="134" spans="2:45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 spans="2:45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</row>
    <row r="136" spans="2:45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</row>
    <row r="137" spans="2:45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</row>
    <row r="138" spans="2:45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 spans="2:45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 spans="2:45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</row>
    <row r="141" spans="2:45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</row>
    <row r="142" spans="2:45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</row>
    <row r="143" spans="2:45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</row>
    <row r="144" spans="2:45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</row>
    <row r="145" spans="2:45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</row>
    <row r="146" spans="2:45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</row>
    <row r="147" spans="2:45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</row>
    <row r="148" spans="2:45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</row>
    <row r="149" spans="2:45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</row>
    <row r="150" spans="2:45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Gláucia Brito</cp:lastModifiedBy>
  <dcterms:created xsi:type="dcterms:W3CDTF">2024-12-19T13:13:10Z</dcterms:created>
  <dcterms:modified xsi:type="dcterms:W3CDTF">2026-02-15T04:20:16Z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